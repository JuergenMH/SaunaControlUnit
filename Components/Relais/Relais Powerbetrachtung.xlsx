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uerg\Documents\_Workspaces\Saunasteuerung\Relais\"/>
    </mc:Choice>
  </mc:AlternateContent>
  <xr:revisionPtr revIDLastSave="0" documentId="13_ncr:1_{182BF039-38DE-4C1D-B11C-943D49A186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lais" sheetId="2" r:id="rId1"/>
    <sheet name="Leistungsbetrachtung" sheetId="1" r:id="rId2"/>
    <sheet name="ESP32 Pi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P5" i="2"/>
  <c r="D3" i="1"/>
  <c r="C4" i="1"/>
  <c r="D4" i="1" s="1"/>
  <c r="D2" i="1"/>
  <c r="Q4" i="2"/>
  <c r="N4" i="2"/>
  <c r="P4" i="2" s="1"/>
  <c r="K4" i="2"/>
  <c r="H4" i="2"/>
  <c r="H3" i="2"/>
  <c r="Q3" i="2"/>
  <c r="N3" i="2"/>
  <c r="P3" i="2" s="1"/>
  <c r="R3" i="2" s="1"/>
  <c r="S3" i="2" s="1"/>
  <c r="R4" i="2" l="1"/>
  <c r="S4" i="2" s="1"/>
  <c r="O4" i="2"/>
  <c r="O3" i="2"/>
  <c r="R5" i="2"/>
  <c r="S5" i="2" s="1"/>
  <c r="C5" i="1"/>
  <c r="D5" i="1" s="1"/>
</calcChain>
</file>

<file path=xl/sharedStrings.xml><?xml version="1.0" encoding="utf-8"?>
<sst xmlns="http://schemas.openxmlformats.org/spreadsheetml/2006/main" count="52" uniqueCount="44">
  <si>
    <t>Hersteller</t>
  </si>
  <si>
    <t>Schrack/TE</t>
  </si>
  <si>
    <t>Typ</t>
  </si>
  <si>
    <t>Schaltspiele</t>
  </si>
  <si>
    <t>16A</t>
  </si>
  <si>
    <t>geschätzte Lebensdauer
@ 20 Zyklen/Saunagang</t>
  </si>
  <si>
    <t>Kontakte</t>
  </si>
  <si>
    <t>Spule bei Nominalbetrieb (U rated)</t>
  </si>
  <si>
    <t>Spule im Haltebetrieb</t>
  </si>
  <si>
    <t>Relais</t>
  </si>
  <si>
    <t>Lieferant</t>
  </si>
  <si>
    <t>Preis</t>
  </si>
  <si>
    <t>RZ03-1A4-D024</t>
  </si>
  <si>
    <t>Reichelt</t>
  </si>
  <si>
    <t>Worst case Betrachtung</t>
  </si>
  <si>
    <t>Relais #1
[mA]</t>
  </si>
  <si>
    <t>Relais #2
[mA]</t>
  </si>
  <si>
    <t>Summe
[mA]</t>
  </si>
  <si>
    <t>Leistung
[W]</t>
  </si>
  <si>
    <t>max. Spannung
[VAC]</t>
  </si>
  <si>
    <t>max. Strom
[A]</t>
  </si>
  <si>
    <t>Spannung
[VDC]</t>
  </si>
  <si>
    <t>Widerstand
[Ohm]</t>
  </si>
  <si>
    <t>Strom
[A]</t>
  </si>
  <si>
    <t xml:space="preserve"> G2R-1A-E DC24</t>
  </si>
  <si>
    <t>Omon</t>
  </si>
  <si>
    <t>10A</t>
  </si>
  <si>
    <t>Rest für Schaltregler</t>
  </si>
  <si>
    <t>Für Elektronik bei 90%Wirkungsgrad</t>
  </si>
  <si>
    <t>Netzteil Spannung, Strom, Leistung</t>
  </si>
  <si>
    <t>Verbrauch für sechs Relais</t>
  </si>
  <si>
    <t>Spannung
[V]</t>
  </si>
  <si>
    <t>Thema Stromversorgung ESP</t>
  </si>
  <si>
    <t>https://arduino-hannover.de/2018/07/25/die-tuecken-der-esp32-stromversorgung/</t>
  </si>
  <si>
    <t xml:space="preserve"> =&gt; Damit überhaupt ein LCD mit Hintergrundbeleuchtung betrieben werden kann,
ist eine gute Entkopplung mit starken Elektrolytkondensatoren nötig!</t>
  </si>
  <si>
    <t>Allgemeines zum ESP</t>
  </si>
  <si>
    <t>https://wolles-elektronikkiste.de/esp32-mit-arduino-code-programmieren</t>
  </si>
  <si>
    <t>Verbraucher ESP Maximalstrom</t>
  </si>
  <si>
    <t>Verbraucher ESP Nominalstrom</t>
  </si>
  <si>
    <t>senden, kurzfristig</t>
  </si>
  <si>
    <t>empfangen, normal</t>
  </si>
  <si>
    <t xml:space="preserve">Schrack </t>
  </si>
  <si>
    <t>Lager</t>
  </si>
  <si>
    <t>RP310024
Nachfolger  RT314024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</si>
</sst>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3" applyNumberFormat="0" applyAlignment="0" applyProtection="0"/>
    <xf numFmtId="0" fontId="4" fillId="3" borderId="3" applyNumberFormat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2" fillId="0" borderId="4" xfId="2" applyNumberFormat="1" applyBorder="1" applyAlignment="1">
      <alignment wrapText="1"/>
    </xf>
    <xf numFmtId="2" fontId="2" fillId="0" borderId="5" xfId="2" applyNumberFormat="1" applyBorder="1" applyAlignment="1">
      <alignment wrapText="1"/>
    </xf>
    <xf numFmtId="2" fontId="2" fillId="0" borderId="6" xfId="2" applyNumberFormat="1" applyBorder="1" applyAlignment="1">
      <alignment wrapText="1"/>
    </xf>
    <xf numFmtId="0" fontId="2" fillId="0" borderId="4" xfId="2" applyBorder="1" applyAlignment="1">
      <alignment wrapText="1"/>
    </xf>
    <xf numFmtId="0" fontId="2" fillId="0" borderId="5" xfId="2" applyBorder="1" applyAlignment="1">
      <alignment wrapText="1"/>
    </xf>
    <xf numFmtId="0" fontId="2" fillId="0" borderId="6" xfId="2" applyBorder="1" applyAlignment="1">
      <alignment wrapText="1"/>
    </xf>
    <xf numFmtId="0" fontId="2" fillId="0" borderId="5" xfId="2" applyBorder="1"/>
    <xf numFmtId="0" fontId="2" fillId="0" borderId="4" xfId="2" applyBorder="1"/>
    <xf numFmtId="0" fontId="2" fillId="0" borderId="6" xfId="2" applyBorder="1"/>
    <xf numFmtId="2" fontId="0" fillId="0" borderId="5" xfId="0" applyNumberFormat="1" applyBorder="1" applyAlignment="1">
      <alignment wrapText="1"/>
    </xf>
    <xf numFmtId="4" fontId="0" fillId="0" borderId="0" xfId="0" applyNumberFormat="1"/>
    <xf numFmtId="0" fontId="3" fillId="2" borderId="3" xfId="3"/>
    <xf numFmtId="4" fontId="3" fillId="2" borderId="3" xfId="3" applyNumberFormat="1"/>
    <xf numFmtId="0" fontId="3" fillId="2" borderId="3" xfId="3" applyAlignment="1">
      <alignment horizontal="right"/>
    </xf>
    <xf numFmtId="4" fontId="4" fillId="3" borderId="3" xfId="4" applyNumberFormat="1"/>
    <xf numFmtId="4" fontId="0" fillId="0" borderId="0" xfId="0" applyNumberFormat="1" applyAlignment="1">
      <alignment wrapText="1"/>
    </xf>
    <xf numFmtId="0" fontId="0" fillId="0" borderId="5" xfId="0" applyBorder="1" applyAlignment="1">
      <alignment wrapText="1"/>
    </xf>
    <xf numFmtId="2" fontId="1" fillId="0" borderId="0" xfId="1" applyNumberFormat="1" applyBorder="1" applyAlignment="1">
      <alignment horizontal="center"/>
    </xf>
    <xf numFmtId="0" fontId="1" fillId="0" borderId="0" xfId="1" applyBorder="1" applyAlignment="1">
      <alignment horizontal="center"/>
    </xf>
    <xf numFmtId="0" fontId="5" fillId="4" borderId="0" xfId="0" quotePrefix="1" applyFont="1" applyFill="1" applyAlignment="1">
      <alignment horizontal="center" vertical="center" wrapText="1"/>
    </xf>
  </cellXfs>
  <cellStyles count="5">
    <cellStyle name="Berechnung" xfId="4" builtinId="22"/>
    <cellStyle name="Eingabe" xfId="3" builtinId="20"/>
    <cellStyle name="Standard" xfId="0" builtinId="0"/>
    <cellStyle name="Überschrift 2" xfId="1" builtinId="17"/>
    <cellStyle name="Überschrift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114300</xdr:colOff>
      <xdr:row>42</xdr:row>
      <xdr:rowOff>88900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308485A-D3A4-83B7-325B-B67B85830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116300" cy="782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ED1F-5A95-4548-A6D5-4BDBB9E4D514}">
  <dimension ref="A1:S5"/>
  <sheetViews>
    <sheetView tabSelected="1" workbookViewId="0">
      <selection activeCell="B5" sqref="B5"/>
    </sheetView>
  </sheetViews>
  <sheetFormatPr baseColWidth="10" defaultRowHeight="14.5" x14ac:dyDescent="0.35"/>
  <cols>
    <col min="1" max="1" width="9.90625" bestFit="1" customWidth="1"/>
    <col min="2" max="2" width="18.90625" bestFit="1" customWidth="1"/>
    <col min="3" max="3" width="8.26953125" bestFit="1" customWidth="1"/>
    <col min="4" max="4" width="11.6328125" customWidth="1"/>
    <col min="5" max="5" width="10.453125" bestFit="1" customWidth="1"/>
    <col min="6" max="6" width="13.6328125" bestFit="1" customWidth="1"/>
    <col min="8" max="8" width="21.08984375" bestFit="1" customWidth="1"/>
    <col min="9" max="9" width="9.08984375" bestFit="1" customWidth="1"/>
    <col min="10" max="10" width="10.6328125" bestFit="1" customWidth="1"/>
    <col min="11" max="11" width="7.7265625" style="2" bestFit="1" customWidth="1"/>
    <col min="12" max="12" width="9" style="2" customWidth="1"/>
    <col min="13" max="13" width="9.08984375" bestFit="1" customWidth="1"/>
    <col min="14" max="14" width="5.90625" style="2" bestFit="1" customWidth="1"/>
    <col min="15" max="15" width="7.7265625" style="2" bestFit="1" customWidth="1"/>
    <col min="16" max="16" width="8.08984375" style="2" bestFit="1" customWidth="1"/>
    <col min="17" max="17" width="7.90625" style="2" customWidth="1"/>
    <col min="18" max="18" width="7.08984375" style="2" bestFit="1" customWidth="1"/>
    <col min="19" max="19" width="7.7265625" style="2" bestFit="1" customWidth="1"/>
  </cols>
  <sheetData>
    <row r="1" spans="1:19" ht="17" x14ac:dyDescent="0.4">
      <c r="A1" s="27" t="s">
        <v>9</v>
      </c>
      <c r="B1" s="27"/>
      <c r="C1" s="27"/>
      <c r="D1" s="27"/>
      <c r="E1" s="27" t="s">
        <v>6</v>
      </c>
      <c r="F1" s="27"/>
      <c r="G1" s="27"/>
      <c r="H1" s="27"/>
      <c r="I1" s="27" t="s">
        <v>7</v>
      </c>
      <c r="J1" s="27"/>
      <c r="K1" s="27"/>
      <c r="L1" s="27"/>
      <c r="M1" s="27" t="s">
        <v>8</v>
      </c>
      <c r="N1" s="27"/>
      <c r="O1" s="27"/>
      <c r="P1" s="26" t="s">
        <v>14</v>
      </c>
      <c r="Q1" s="26"/>
      <c r="R1" s="26"/>
      <c r="S1" s="26"/>
    </row>
    <row r="2" spans="1:19" ht="43.5" x14ac:dyDescent="0.35">
      <c r="A2" s="16" t="s">
        <v>0</v>
      </c>
      <c r="B2" s="15" t="s">
        <v>2</v>
      </c>
      <c r="C2" s="15" t="s">
        <v>10</v>
      </c>
      <c r="D2" s="17" t="s">
        <v>11</v>
      </c>
      <c r="E2" s="12" t="s">
        <v>20</v>
      </c>
      <c r="F2" s="13" t="s">
        <v>19</v>
      </c>
      <c r="G2" s="15" t="s">
        <v>3</v>
      </c>
      <c r="H2" s="14" t="s">
        <v>5</v>
      </c>
      <c r="I2" s="12" t="s">
        <v>21</v>
      </c>
      <c r="J2" s="13" t="s">
        <v>22</v>
      </c>
      <c r="K2" s="10" t="s">
        <v>18</v>
      </c>
      <c r="L2" s="11" t="s">
        <v>23</v>
      </c>
      <c r="M2" s="12" t="s">
        <v>21</v>
      </c>
      <c r="N2" s="10" t="s">
        <v>23</v>
      </c>
      <c r="O2" s="11" t="s">
        <v>18</v>
      </c>
      <c r="P2" s="9" t="s">
        <v>15</v>
      </c>
      <c r="Q2" s="10" t="s">
        <v>16</v>
      </c>
      <c r="R2" s="10" t="s">
        <v>17</v>
      </c>
      <c r="S2" s="11" t="s">
        <v>18</v>
      </c>
    </row>
    <row r="3" spans="1:19" x14ac:dyDescent="0.35">
      <c r="A3" s="6" t="s">
        <v>1</v>
      </c>
      <c r="B3" s="7" t="s">
        <v>12</v>
      </c>
      <c r="C3" s="7" t="s">
        <v>13</v>
      </c>
      <c r="D3" s="8">
        <v>1.85</v>
      </c>
      <c r="E3" s="6" t="s">
        <v>4</v>
      </c>
      <c r="F3" s="7">
        <v>250</v>
      </c>
      <c r="G3" s="7">
        <v>50000</v>
      </c>
      <c r="H3" s="8">
        <f>G3/20</f>
        <v>2500</v>
      </c>
      <c r="I3" s="6">
        <v>24</v>
      </c>
      <c r="J3" s="7">
        <v>1440</v>
      </c>
      <c r="K3" s="18">
        <v>0.4</v>
      </c>
      <c r="L3" s="5">
        <v>1.7000000000000001E-2</v>
      </c>
      <c r="M3" s="6">
        <v>20</v>
      </c>
      <c r="N3" s="4">
        <f>M3/J3</f>
        <v>1.3888888888888888E-2</v>
      </c>
      <c r="O3" s="5">
        <f>M3*N3</f>
        <v>0.27777777777777779</v>
      </c>
      <c r="P3" s="3">
        <f>3*N3</f>
        <v>4.1666666666666664E-2</v>
      </c>
      <c r="Q3" s="4">
        <f>3*L3</f>
        <v>5.1000000000000004E-2</v>
      </c>
      <c r="R3" s="4">
        <f>Q3+P3</f>
        <v>9.2666666666666675E-2</v>
      </c>
      <c r="S3" s="5">
        <f>I3*R3</f>
        <v>2.2240000000000002</v>
      </c>
    </row>
    <row r="4" spans="1:19" x14ac:dyDescent="0.35">
      <c r="A4" s="6" t="s">
        <v>25</v>
      </c>
      <c r="B4" s="7" t="s">
        <v>24</v>
      </c>
      <c r="C4" s="7" t="s">
        <v>13</v>
      </c>
      <c r="D4" s="8">
        <v>1.75</v>
      </c>
      <c r="E4" s="6" t="s">
        <v>26</v>
      </c>
      <c r="F4" s="7">
        <v>250</v>
      </c>
      <c r="G4" s="7">
        <v>100000</v>
      </c>
      <c r="H4" s="8">
        <f>G4/20</f>
        <v>5000</v>
      </c>
      <c r="I4" s="6">
        <v>24</v>
      </c>
      <c r="J4" s="7">
        <v>1100</v>
      </c>
      <c r="K4" s="4">
        <f>I4*I4/J4</f>
        <v>0.52363636363636368</v>
      </c>
      <c r="L4" s="5">
        <v>2.18E-2</v>
      </c>
      <c r="M4" s="6">
        <v>20</v>
      </c>
      <c r="N4" s="4">
        <f>M4/J4</f>
        <v>1.8181818181818181E-2</v>
      </c>
      <c r="O4" s="5">
        <f>M4*N4</f>
        <v>0.36363636363636365</v>
      </c>
      <c r="P4" s="3">
        <f>3*N4</f>
        <v>5.4545454545454543E-2</v>
      </c>
      <c r="Q4" s="4">
        <f>3*L4</f>
        <v>6.54E-2</v>
      </c>
      <c r="R4" s="4">
        <f>Q4+P4</f>
        <v>0.11994545454545455</v>
      </c>
      <c r="S4" s="5">
        <f>I4*R4</f>
        <v>2.878690909090909</v>
      </c>
    </row>
    <row r="5" spans="1:19" ht="29" x14ac:dyDescent="0.35">
      <c r="A5" s="6" t="s">
        <v>41</v>
      </c>
      <c r="B5" s="25" t="s">
        <v>43</v>
      </c>
      <c r="C5" s="7" t="s">
        <v>42</v>
      </c>
      <c r="D5" s="8">
        <v>0</v>
      </c>
      <c r="E5" s="6" t="s">
        <v>4</v>
      </c>
      <c r="F5" s="7">
        <v>250</v>
      </c>
      <c r="G5" s="7"/>
      <c r="H5" s="8"/>
      <c r="I5" s="6">
        <v>24</v>
      </c>
      <c r="J5" s="7">
        <v>1100</v>
      </c>
      <c r="K5" s="4">
        <v>0.52</v>
      </c>
      <c r="L5" s="5">
        <v>2.18E-2</v>
      </c>
      <c r="M5" s="6">
        <v>20</v>
      </c>
      <c r="N5" s="4">
        <v>0.02</v>
      </c>
      <c r="O5" s="5">
        <v>0.4</v>
      </c>
      <c r="P5" s="4">
        <f>3*N5</f>
        <v>0.06</v>
      </c>
      <c r="Q5" s="4">
        <f>3*L5</f>
        <v>6.54E-2</v>
      </c>
      <c r="R5" s="4">
        <f>Q5+P5</f>
        <v>0.12540000000000001</v>
      </c>
      <c r="S5" s="5">
        <f>I5*R5</f>
        <v>3.0096000000000003</v>
      </c>
    </row>
  </sheetData>
  <mergeCells count="5">
    <mergeCell ref="P1:S1"/>
    <mergeCell ref="I1:L1"/>
    <mergeCell ref="M1:O1"/>
    <mergeCell ref="E1:H1"/>
    <mergeCell ref="A1:D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E8" sqref="E8"/>
    </sheetView>
  </sheetViews>
  <sheetFormatPr baseColWidth="10" defaultColWidth="8.7265625" defaultRowHeight="14.5" x14ac:dyDescent="0.35"/>
  <cols>
    <col min="1" max="1" width="31" bestFit="1" customWidth="1"/>
    <col min="2" max="2" width="10.7265625" customWidth="1"/>
    <col min="3" max="4" width="8.7265625" style="19"/>
  </cols>
  <sheetData>
    <row r="1" spans="1:9" ht="29" x14ac:dyDescent="0.35">
      <c r="B1" s="1" t="s">
        <v>31</v>
      </c>
      <c r="C1" s="24" t="s">
        <v>23</v>
      </c>
      <c r="D1" s="24" t="s">
        <v>18</v>
      </c>
    </row>
    <row r="2" spans="1:9" x14ac:dyDescent="0.35">
      <c r="A2" t="s">
        <v>29</v>
      </c>
      <c r="B2" s="20">
        <v>24</v>
      </c>
      <c r="C2" s="21">
        <v>0.23</v>
      </c>
      <c r="D2" s="21">
        <f>B2*C2</f>
        <v>5.5200000000000005</v>
      </c>
    </row>
    <row r="3" spans="1:9" x14ac:dyDescent="0.35">
      <c r="A3" t="s">
        <v>30</v>
      </c>
      <c r="B3" s="22">
        <v>24</v>
      </c>
      <c r="C3" s="23">
        <v>0.12</v>
      </c>
      <c r="D3" s="23">
        <f>B2*C3</f>
        <v>2.88</v>
      </c>
    </row>
    <row r="4" spans="1:9" x14ac:dyDescent="0.35">
      <c r="A4" t="s">
        <v>27</v>
      </c>
      <c r="B4" s="20">
        <v>24</v>
      </c>
      <c r="C4" s="23">
        <f>C2-C3</f>
        <v>0.11000000000000001</v>
      </c>
      <c r="D4" s="23">
        <f>B2*C4</f>
        <v>2.6400000000000006</v>
      </c>
    </row>
    <row r="5" spans="1:9" x14ac:dyDescent="0.35">
      <c r="A5" t="s">
        <v>28</v>
      </c>
      <c r="B5" s="20">
        <v>5</v>
      </c>
      <c r="C5" s="23">
        <f>(B4/B5)*C4*0.9</f>
        <v>0.47520000000000001</v>
      </c>
      <c r="D5" s="23">
        <f>B5*C5</f>
        <v>2.3759999999999999</v>
      </c>
    </row>
    <row r="6" spans="1:9" x14ac:dyDescent="0.35">
      <c r="A6" t="s">
        <v>37</v>
      </c>
      <c r="C6" s="21">
        <v>0.4</v>
      </c>
      <c r="E6" t="s">
        <v>39</v>
      </c>
    </row>
    <row r="7" spans="1:9" x14ac:dyDescent="0.35">
      <c r="A7" t="s">
        <v>38</v>
      </c>
      <c r="C7" s="21">
        <v>0.18</v>
      </c>
      <c r="E7" t="s">
        <v>40</v>
      </c>
    </row>
    <row r="10" spans="1:9" ht="45" customHeight="1" x14ac:dyDescent="0.35">
      <c r="A10" s="28" t="s">
        <v>34</v>
      </c>
      <c r="B10" s="28"/>
      <c r="C10" s="28"/>
      <c r="D10" s="28"/>
      <c r="E10" s="28"/>
      <c r="F10" s="28"/>
      <c r="G10" s="28"/>
      <c r="H10" s="28"/>
      <c r="I10" s="28"/>
    </row>
    <row r="12" spans="1:9" x14ac:dyDescent="0.35">
      <c r="A12" t="s">
        <v>32</v>
      </c>
      <c r="B12" t="s">
        <v>33</v>
      </c>
    </row>
    <row r="13" spans="1:9" x14ac:dyDescent="0.35">
      <c r="A13" t="s">
        <v>35</v>
      </c>
      <c r="B13" t="s">
        <v>36</v>
      </c>
    </row>
  </sheetData>
  <mergeCells count="1">
    <mergeCell ref="A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B5EE-72C8-4912-8F06-F0D7F91B903F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Relais</vt:lpstr>
      <vt:lpstr>Leistungsbetrachtung</vt:lpstr>
      <vt:lpstr>ESP32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Jürgen Eggeling</cp:lastModifiedBy>
  <dcterms:created xsi:type="dcterms:W3CDTF">2015-06-05T18:19:34Z</dcterms:created>
  <dcterms:modified xsi:type="dcterms:W3CDTF">2026-01-21T21:05:24Z</dcterms:modified>
</cp:coreProperties>
</file>